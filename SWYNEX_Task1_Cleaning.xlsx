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leaning_Guide" sheetId="3" state="visible" r:id="rId3"/>
    <sheet xmlns:r="http://schemas.openxmlformats.org/officeDocument/2006/relationships" name="Data_Quality_Check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'Raw_Data'!$A$1:$G$32</definedName>
    <definedName name="_xlnm._FilterDatabase" localSheetId="1" hidden="1">'Cleaned_Data'!$A$1:$G$31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Record_ID</t>
        </is>
      </c>
      <c r="B1" s="1" t="inlineStr">
        <is>
          <t>Sepal_Length_cm</t>
        </is>
      </c>
      <c r="C1" s="1" t="inlineStr">
        <is>
          <t>Sepal_Width_cm</t>
        </is>
      </c>
      <c r="D1" s="1" t="inlineStr">
        <is>
          <t>Petal_Length_cm</t>
        </is>
      </c>
      <c r="E1" s="1" t="inlineStr">
        <is>
          <t>Petal_Width_cm</t>
        </is>
      </c>
      <c r="F1" s="1" t="inlineStr">
        <is>
          <t>Species</t>
        </is>
      </c>
      <c r="G1" s="1" t="inlineStr">
        <is>
          <t>Collection_Date</t>
        </is>
      </c>
    </row>
    <row r="2">
      <c r="A2" t="n">
        <v>1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  <c r="G2" s="2" t="n">
        <v>45662</v>
      </c>
    </row>
    <row r="3">
      <c r="A3" t="n">
        <v>2</v>
      </c>
      <c r="B3" t="n">
        <v>4.9</v>
      </c>
      <c r="C3" t="n">
        <v>3</v>
      </c>
      <c r="D3" t="n">
        <v>1.4</v>
      </c>
      <c r="E3" t="n">
        <v>0.2</v>
      </c>
      <c r="F3" s="3" t="inlineStr">
        <is>
          <t xml:space="preserve"> SETOSA </t>
        </is>
      </c>
      <c r="G3" s="2" t="n">
        <v>45663</v>
      </c>
    </row>
    <row r="4">
      <c r="A4" t="n">
        <v>3</v>
      </c>
      <c r="B4" s="3" t="inlineStr">
        <is>
          <t>4.7</t>
        </is>
      </c>
      <c r="C4" t="n">
        <v>3.2</v>
      </c>
      <c r="D4" t="n">
        <v>1.3</v>
      </c>
      <c r="E4" t="n">
        <v>0.2</v>
      </c>
      <c r="F4" t="inlineStr">
        <is>
          <t>setosa</t>
        </is>
      </c>
      <c r="G4" s="2" t="n">
        <v>45664</v>
      </c>
    </row>
    <row r="5">
      <c r="A5" t="n">
        <v>4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  <c r="G5" s="2" t="n">
        <v>45665</v>
      </c>
    </row>
    <row r="6">
      <c r="A6" t="n">
        <v>5</v>
      </c>
      <c r="B6" t="n">
        <v>5</v>
      </c>
      <c r="C6" s="3" t="n"/>
      <c r="D6" t="n">
        <v>1.4</v>
      </c>
      <c r="E6" t="n">
        <v>0.2</v>
      </c>
      <c r="F6" t="inlineStr">
        <is>
          <t>setosa</t>
        </is>
      </c>
      <c r="G6" s="2" t="n">
        <v>45666</v>
      </c>
    </row>
    <row r="7">
      <c r="A7" t="n">
        <v>6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  <c r="G7" s="2" t="n">
        <v>45667</v>
      </c>
    </row>
    <row r="8">
      <c r="A8" t="n">
        <v>7</v>
      </c>
      <c r="B8" t="n">
        <v>4.6</v>
      </c>
      <c r="C8" t="n">
        <v>3.4</v>
      </c>
      <c r="D8" t="n">
        <v>1.4</v>
      </c>
      <c r="E8" t="n">
        <v>0.3</v>
      </c>
      <c r="F8" s="3" t="inlineStr">
        <is>
          <t>Iris-setosa</t>
        </is>
      </c>
      <c r="G8" s="2" t="n">
        <v>45668</v>
      </c>
    </row>
    <row r="9">
      <c r="A9" t="n">
        <v>8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  <c r="G9" s="3" t="inlineStr">
        <is>
          <t>08/01/2025</t>
        </is>
      </c>
    </row>
    <row r="10">
      <c r="A10" t="n">
        <v>9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  <c r="G10" s="2" t="n">
        <v>45670</v>
      </c>
    </row>
    <row r="11">
      <c r="A11" t="n">
        <v>10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  <c r="G11" s="2" t="n">
        <v>45671</v>
      </c>
    </row>
    <row r="12">
      <c r="A12" t="n">
        <v>11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  <c r="G12" s="2" t="n">
        <v>45672</v>
      </c>
    </row>
    <row r="13">
      <c r="A13" t="n">
        <v>12</v>
      </c>
      <c r="B13" t="n">
        <v>4.8</v>
      </c>
      <c r="C13" t="n">
        <v>3.4</v>
      </c>
      <c r="D13" s="3" t="inlineStr">
        <is>
          <t>5.5</t>
        </is>
      </c>
      <c r="E13" t="n">
        <v>0.2</v>
      </c>
      <c r="F13" t="inlineStr">
        <is>
          <t>setosa</t>
        </is>
      </c>
      <c r="G13" s="2" t="n">
        <v>45673</v>
      </c>
    </row>
    <row r="14">
      <c r="A14" t="n">
        <v>13</v>
      </c>
      <c r="B14" t="n">
        <v>4.8</v>
      </c>
      <c r="C14" t="n">
        <v>3</v>
      </c>
      <c r="D14" t="n">
        <v>1.4</v>
      </c>
      <c r="E14" t="n">
        <v>0.1</v>
      </c>
      <c r="F14" s="3" t="inlineStr">
        <is>
          <t>VERSICOLOR</t>
        </is>
      </c>
      <c r="G14" s="2" t="n">
        <v>45674</v>
      </c>
    </row>
    <row r="15">
      <c r="A15" t="n">
        <v>14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  <c r="G15" s="3" t="inlineStr">
        <is>
          <t>2025-01-18</t>
        </is>
      </c>
    </row>
    <row r="16">
      <c r="A16" t="n">
        <v>15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  <c r="G16" s="2" t="n">
        <v>45676</v>
      </c>
    </row>
    <row r="17">
      <c r="A17" t="n">
        <v>16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  <c r="G17" s="2" t="n">
        <v>45677</v>
      </c>
    </row>
    <row r="18">
      <c r="A18" t="n">
        <v>17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  <c r="G18" s="2" t="n">
        <v>45678</v>
      </c>
    </row>
    <row r="19">
      <c r="A19" t="n">
        <v>18</v>
      </c>
      <c r="B19" t="n">
        <v>5.1</v>
      </c>
      <c r="C19" t="n">
        <v>3.5</v>
      </c>
      <c r="D19" t="n">
        <v>1.4</v>
      </c>
      <c r="E19" s="3" t="n"/>
      <c r="F19" t="inlineStr">
        <is>
          <t>setosa</t>
        </is>
      </c>
      <c r="G19" s="2" t="n">
        <v>45679</v>
      </c>
    </row>
    <row r="20">
      <c r="A20" t="n">
        <v>19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  <c r="G20" s="2" t="n">
        <v>45680</v>
      </c>
    </row>
    <row r="21">
      <c r="A21" t="n">
        <v>20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  <c r="G21" s="2" t="n">
        <v>45681</v>
      </c>
    </row>
    <row r="22">
      <c r="A22" t="n">
        <v>21</v>
      </c>
      <c r="B22" t="n">
        <v>5.4</v>
      </c>
      <c r="C22" t="n">
        <v>3.4</v>
      </c>
      <c r="D22" t="n">
        <v>1.7</v>
      </c>
      <c r="E22" t="n">
        <v>0.2</v>
      </c>
      <c r="F22" s="3" t="inlineStr">
        <is>
          <t xml:space="preserve">virginica </t>
        </is>
      </c>
      <c r="G22" s="2" t="n">
        <v>45682</v>
      </c>
    </row>
    <row r="23">
      <c r="A23" t="n">
        <v>22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  <c r="G23" s="3" t="inlineStr">
        <is>
          <t>not a date</t>
        </is>
      </c>
    </row>
    <row r="24">
      <c r="A24" t="n">
        <v>23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  <c r="G24" s="2" t="n">
        <v>45684</v>
      </c>
    </row>
    <row r="25">
      <c r="A25" t="n">
        <v>24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  <c r="G25" s="2" t="n">
        <v>45685</v>
      </c>
    </row>
    <row r="26">
      <c r="A26" t="n">
        <v>25</v>
      </c>
      <c r="B26" t="n">
        <v>4.8</v>
      </c>
      <c r="C26" t="n">
        <v>3.4</v>
      </c>
      <c r="D26" t="n">
        <v>99.90000000000001</v>
      </c>
      <c r="E26" t="n">
        <v>0.2</v>
      </c>
      <c r="F26" t="inlineStr">
        <is>
          <t>setosa</t>
        </is>
      </c>
      <c r="G26" s="2" t="n">
        <v>45686</v>
      </c>
    </row>
    <row r="27">
      <c r="A27" t="n">
        <v>26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  <c r="G27" s="2" t="n">
        <v>45687</v>
      </c>
    </row>
    <row r="28">
      <c r="A28" t="n">
        <v>27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  <c r="G28" s="2" t="n">
        <v>45688</v>
      </c>
    </row>
    <row r="29">
      <c r="A29" t="n">
        <v>28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  <c r="G29" s="2" t="n">
        <v>45689</v>
      </c>
    </row>
    <row r="30">
      <c r="A30" t="n">
        <v>29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  <c r="G30" s="2" t="n">
        <v>45690</v>
      </c>
    </row>
    <row r="31">
      <c r="A31" t="n">
        <v>30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  <c r="G31" s="2" t="n">
        <v>45691</v>
      </c>
    </row>
    <row r="32">
      <c r="A32" t="n">
        <v>31</v>
      </c>
      <c r="B32" t="n">
        <v>4.9</v>
      </c>
      <c r="C32" t="n">
        <v>3.1</v>
      </c>
      <c r="D32" t="n">
        <v>1.5</v>
      </c>
      <c r="E32" t="n">
        <v>0.1</v>
      </c>
      <c r="F32" t="inlineStr">
        <is>
          <t>setosa</t>
        </is>
      </c>
      <c r="G32" s="2" t="n">
        <v>45671</v>
      </c>
    </row>
  </sheetData>
  <autoFilter ref="A1: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Record_ID</t>
        </is>
      </c>
      <c r="B1" s="1" t="inlineStr">
        <is>
          <t>Sepal_Length_cm</t>
        </is>
      </c>
      <c r="C1" s="1" t="inlineStr">
        <is>
          <t>Sepal_Width_cm</t>
        </is>
      </c>
      <c r="D1" s="1" t="inlineStr">
        <is>
          <t>Petal_Length_cm</t>
        </is>
      </c>
      <c r="E1" s="1" t="inlineStr">
        <is>
          <t>Petal_Width_cm</t>
        </is>
      </c>
      <c r="F1" s="1" t="inlineStr">
        <is>
          <t>Species</t>
        </is>
      </c>
      <c r="G1" s="1" t="inlineStr">
        <is>
          <t>Collection_Date</t>
        </is>
      </c>
    </row>
    <row r="2">
      <c r="A2" t="n">
        <v>1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  <c r="G2" s="4" t="n">
        <v>45662</v>
      </c>
    </row>
    <row r="3">
      <c r="A3" t="n">
        <v>2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  <c r="G3" s="4" t="n">
        <v>45663</v>
      </c>
    </row>
    <row r="4">
      <c r="A4" t="n">
        <v>3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  <c r="G4" s="4" t="n">
        <v>45664</v>
      </c>
    </row>
    <row r="5">
      <c r="A5" t="n">
        <v>4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  <c r="G5" s="4" t="n">
        <v>45665</v>
      </c>
    </row>
    <row r="6">
      <c r="A6" t="n">
        <v>5</v>
      </c>
      <c r="B6" t="n">
        <v>5</v>
      </c>
      <c r="C6" s="3" t="n"/>
      <c r="D6" t="n">
        <v>1.4</v>
      </c>
      <c r="E6" t="n">
        <v>0.2</v>
      </c>
      <c r="F6" t="inlineStr">
        <is>
          <t>setosa</t>
        </is>
      </c>
      <c r="G6" s="4" t="n">
        <v>45666</v>
      </c>
    </row>
    <row r="7">
      <c r="A7" t="n">
        <v>6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  <c r="G7" s="4" t="n">
        <v>45667</v>
      </c>
    </row>
    <row r="8">
      <c r="A8" t="n">
        <v>7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  <c r="G8" s="4" t="n">
        <v>45668</v>
      </c>
    </row>
    <row r="9">
      <c r="A9" t="n">
        <v>8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  <c r="G9" s="4" t="n">
        <v>45665</v>
      </c>
    </row>
    <row r="10">
      <c r="A10" t="n">
        <v>9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  <c r="G10" s="4" t="n">
        <v>45670</v>
      </c>
    </row>
    <row r="11">
      <c r="A11" t="n">
        <v>10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  <c r="G11" s="4" t="n">
        <v>45671</v>
      </c>
    </row>
    <row r="12">
      <c r="A12" t="n">
        <v>11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  <c r="G12" s="4" t="n">
        <v>45672</v>
      </c>
    </row>
    <row r="13">
      <c r="A13" t="n">
        <v>12</v>
      </c>
      <c r="B13" t="n">
        <v>4.8</v>
      </c>
      <c r="C13" t="n">
        <v>3.4</v>
      </c>
      <c r="D13" t="n">
        <v>5.5</v>
      </c>
      <c r="E13" t="n">
        <v>0.2</v>
      </c>
      <c r="F13" t="inlineStr">
        <is>
          <t>setosa</t>
        </is>
      </c>
      <c r="G13" s="4" t="n">
        <v>45673</v>
      </c>
    </row>
    <row r="14">
      <c r="A14" t="n">
        <v>13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versicolor</t>
        </is>
      </c>
      <c r="G14" s="4" t="n">
        <v>45674</v>
      </c>
    </row>
    <row r="15">
      <c r="A15" t="n">
        <v>14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  <c r="G15" s="4" t="n">
        <v>45675</v>
      </c>
    </row>
    <row r="16">
      <c r="A16" t="n">
        <v>15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  <c r="G16" s="4" t="n">
        <v>45676</v>
      </c>
    </row>
    <row r="17">
      <c r="A17" t="n">
        <v>16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  <c r="G17" s="4" t="n">
        <v>45677</v>
      </c>
    </row>
    <row r="18">
      <c r="A18" t="n">
        <v>17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  <c r="G18" s="4" t="n">
        <v>45678</v>
      </c>
    </row>
    <row r="19">
      <c r="A19" t="n">
        <v>18</v>
      </c>
      <c r="B19" t="n">
        <v>5.1</v>
      </c>
      <c r="C19" t="n">
        <v>3.5</v>
      </c>
      <c r="D19" t="n">
        <v>1.4</v>
      </c>
      <c r="E19" s="3" t="n"/>
      <c r="F19" t="inlineStr">
        <is>
          <t>setosa</t>
        </is>
      </c>
      <c r="G19" s="4" t="n">
        <v>45679</v>
      </c>
    </row>
    <row r="20">
      <c r="A20" t="n">
        <v>19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  <c r="G20" s="4" t="n">
        <v>45680</v>
      </c>
    </row>
    <row r="21">
      <c r="A21" t="n">
        <v>20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  <c r="G21" s="4" t="n">
        <v>45681</v>
      </c>
    </row>
    <row r="22">
      <c r="A22" t="n">
        <v>21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virginica</t>
        </is>
      </c>
      <c r="G22" s="4" t="n">
        <v>45682</v>
      </c>
    </row>
    <row r="23">
      <c r="A23" t="n">
        <v>22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  <c r="G23" s="3" t="n"/>
    </row>
    <row r="24">
      <c r="A24" t="n">
        <v>23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  <c r="G24" s="4" t="n">
        <v>45684</v>
      </c>
    </row>
    <row r="25">
      <c r="A25" t="n">
        <v>24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  <c r="G25" s="4" t="n">
        <v>45685</v>
      </c>
    </row>
    <row r="26">
      <c r="A26" t="n">
        <v>25</v>
      </c>
      <c r="B26" t="n">
        <v>4.8</v>
      </c>
      <c r="C26" t="n">
        <v>3.4</v>
      </c>
      <c r="D26" s="3" t="n"/>
      <c r="E26" t="n">
        <v>0.2</v>
      </c>
      <c r="F26" t="inlineStr">
        <is>
          <t>setosa</t>
        </is>
      </c>
      <c r="G26" s="4" t="n">
        <v>45686</v>
      </c>
    </row>
    <row r="27">
      <c r="A27" t="n">
        <v>26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  <c r="G27" s="4" t="n">
        <v>45687</v>
      </c>
    </row>
    <row r="28">
      <c r="A28" t="n">
        <v>27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  <c r="G28" s="4" t="n">
        <v>45688</v>
      </c>
    </row>
    <row r="29">
      <c r="A29" t="n">
        <v>28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  <c r="G29" s="4" t="n">
        <v>45689</v>
      </c>
    </row>
    <row r="30">
      <c r="A30" t="n">
        <v>29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  <c r="G30" s="4" t="n">
        <v>45690</v>
      </c>
    </row>
    <row r="31">
      <c r="A31" t="n">
        <v>30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  <c r="G31" s="4" t="n">
        <v>45691</v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65" customWidth="1" min="4" max="4"/>
    <col width="35" customWidth="1" min="5" max="5"/>
  </cols>
  <sheetData>
    <row r="1">
      <c r="A1" s="1" t="inlineStr">
        <is>
          <t>Step</t>
        </is>
      </c>
      <c r="B1" s="1" t="inlineStr">
        <is>
          <t>Problem</t>
        </is>
      </c>
      <c r="C1" s="1" t="inlineStr">
        <is>
          <t>Excel Method</t>
        </is>
      </c>
      <c r="D1" s="1" t="inlineStr">
        <is>
          <t>Example Formula / Action</t>
        </is>
      </c>
      <c r="E1" s="1" t="inlineStr">
        <is>
          <t>Expected Result</t>
        </is>
      </c>
    </row>
    <row r="2">
      <c r="A2" s="5" t="n">
        <v>1</v>
      </c>
      <c r="B2" t="inlineStr">
        <is>
          <t>Create a copy of raw data</t>
        </is>
      </c>
      <c r="C2" t="inlineStr">
        <is>
          <t>Duplicate worksheet</t>
        </is>
      </c>
      <c r="D2" s="6" t="inlineStr">
        <is>
          <t>Right-click Raw_Data → Move or Copy → Create a copy</t>
        </is>
      </c>
      <c r="E2" t="inlineStr">
        <is>
          <t>Keep original data unchanged</t>
        </is>
      </c>
    </row>
    <row r="3">
      <c r="A3" s="5" t="n">
        <v>2</v>
      </c>
      <c r="B3" t="inlineStr">
        <is>
          <t>Find missing values</t>
        </is>
      </c>
      <c r="C3" t="inlineStr">
        <is>
          <t>Filter / Find blanks</t>
        </is>
      </c>
      <c r="D3" s="6" t="inlineStr">
        <is>
          <t>Data → Filter → select (Blanks)</t>
        </is>
      </c>
      <c r="E3" t="inlineStr">
        <is>
          <t>Identify missing cells</t>
        </is>
      </c>
    </row>
    <row r="4">
      <c r="A4" s="5" t="n">
        <v>3</v>
      </c>
      <c r="B4" t="inlineStr">
        <is>
          <t>Clean extra spaces</t>
        </is>
      </c>
      <c r="C4" t="inlineStr">
        <is>
          <t>TRIM</t>
        </is>
      </c>
      <c r="D4" s="6">
        <f>TRIM(F2)</f>
        <v/>
      </c>
      <c r="E4" t="inlineStr">
        <is>
          <t>SETOSA text becomes SETOSA without extra spaces</t>
        </is>
      </c>
    </row>
    <row r="5">
      <c r="A5" s="5" t="n">
        <v>4</v>
      </c>
      <c r="B5" t="inlineStr">
        <is>
          <t>Standardize case</t>
        </is>
      </c>
      <c r="C5" t="inlineStr">
        <is>
          <t>UPPER or LOWER</t>
        </is>
      </c>
      <c r="D5" s="6">
        <f>LOWER(TRIM(F2))</f>
        <v/>
      </c>
      <c r="E5" t="inlineStr">
        <is>
          <t>Setosa / SETOSA / setosa become setosa</t>
        </is>
      </c>
    </row>
    <row r="6">
      <c r="A6" s="5" t="n">
        <v>5</v>
      </c>
      <c r="B6" t="inlineStr">
        <is>
          <t>Standardize Iris-setosa</t>
        </is>
      </c>
      <c r="C6" t="inlineStr">
        <is>
          <t>IF / SUBSTITUTE</t>
        </is>
      </c>
      <c r="D6" s="6">
        <f>IF(LOWER(TRIM(F2))="iris-setosa","setosa",LOWER(TRIM(F2)))</f>
        <v/>
      </c>
      <c r="E6" t="inlineStr">
        <is>
          <t>Iris-setosa becomes setosa</t>
        </is>
      </c>
    </row>
    <row r="7">
      <c r="A7" s="5" t="n">
        <v>6</v>
      </c>
      <c r="B7" t="inlineStr">
        <is>
          <t>Convert numbers stored as text</t>
        </is>
      </c>
      <c r="C7" t="inlineStr">
        <is>
          <t>VALUE</t>
        </is>
      </c>
      <c r="D7" s="6">
        <f>IFERROR(VALUE(B2),"")</f>
        <v/>
      </c>
      <c r="E7" t="inlineStr">
        <is>
          <t>Text 4.7 becomes numeric 4.7</t>
        </is>
      </c>
    </row>
    <row r="8">
      <c r="A8" s="5" t="n">
        <v>7</v>
      </c>
      <c r="B8" t="inlineStr">
        <is>
          <t>Handle missing numeric values</t>
        </is>
      </c>
      <c r="C8" t="inlineStr">
        <is>
          <t>Replace / leave blank</t>
        </is>
      </c>
      <c r="D8" s="6" t="inlineStr">
        <is>
          <t>For beginner practice: leave blank and document it</t>
        </is>
      </c>
      <c r="E8" t="inlineStr">
        <is>
          <t>Missing values are visible and documented</t>
        </is>
      </c>
    </row>
    <row r="9">
      <c r="A9" s="5" t="n">
        <v>8</v>
      </c>
      <c r="B9" t="inlineStr">
        <is>
          <t>Standardize dates</t>
        </is>
      </c>
      <c r="C9" t="inlineStr">
        <is>
          <t>DATEVALUE / format</t>
        </is>
      </c>
      <c r="D9" s="6">
        <f>IFERROR(DATEVALUE(G2),"")</f>
        <v/>
      </c>
      <c r="E9" t="inlineStr">
        <is>
          <t>Valid dates become Excel dates</t>
        </is>
      </c>
    </row>
    <row r="10">
      <c r="A10" s="5" t="n">
        <v>9</v>
      </c>
      <c r="B10" t="inlineStr">
        <is>
          <t>Find duplicates</t>
        </is>
      </c>
      <c r="C10" t="inlineStr">
        <is>
          <t>Remove Duplicates</t>
        </is>
      </c>
      <c r="D10" s="6" t="inlineStr">
        <is>
          <t>Data → Remove Duplicates → select all columns except Record_ID</t>
        </is>
      </c>
      <c r="E10" t="inlineStr">
        <is>
          <t>Duplicate record removed</t>
        </is>
      </c>
    </row>
    <row r="11">
      <c r="A11" s="5" t="n">
        <v>10</v>
      </c>
      <c r="B11" t="inlineStr">
        <is>
          <t>Check invalid numeric values</t>
        </is>
      </c>
      <c r="C11" t="inlineStr">
        <is>
          <t>Sort / conditional formatting</t>
        </is>
      </c>
      <c r="D11" s="6" t="inlineStr">
        <is>
          <t>Filter values outside a sensible range</t>
        </is>
      </c>
      <c r="E11" t="inlineStr">
        <is>
          <t>99.9 is flagged as suspicious</t>
        </is>
      </c>
    </row>
    <row r="12">
      <c r="A12" s="5" t="n">
        <v>11</v>
      </c>
      <c r="B12" t="inlineStr">
        <is>
          <t>Final quality check</t>
        </is>
      </c>
      <c r="C12" t="inlineStr">
        <is>
          <t>COUNTBLANK / COUNTIF</t>
        </is>
      </c>
      <c r="D12" s="6">
        <f>COUNTBLANK(B2:G31)</f>
        <v/>
      </c>
      <c r="E12" t="inlineStr">
        <is>
          <t>Measure remaining blanks</t>
        </is>
      </c>
    </row>
    <row r="13">
      <c r="A13" s="5" t="n">
        <v>12</v>
      </c>
      <c r="B13" t="inlineStr">
        <is>
          <t>Save final file</t>
        </is>
      </c>
      <c r="C13" t="inlineStr">
        <is>
          <t>Save As</t>
        </is>
      </c>
      <c r="D13" s="6" t="inlineStr">
        <is>
          <t>File → Save As → Cleaned_Iris_Data.xlsx</t>
        </is>
      </c>
      <c r="E13" t="inlineStr">
        <is>
          <t>Submission-ready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45" customWidth="1" min="3" max="3"/>
  </cols>
  <sheetData>
    <row r="1">
      <c r="A1" s="1" t="inlineStr">
        <is>
          <t>Check</t>
        </is>
      </c>
      <c r="B1" s="1" t="inlineStr">
        <is>
          <t>Excel Formula / Action</t>
        </is>
      </c>
      <c r="C1" s="1" t="inlineStr">
        <is>
          <t>Purpose</t>
        </is>
      </c>
    </row>
    <row r="2">
      <c r="A2" t="inlineStr">
        <is>
          <t>Missing cells</t>
        </is>
      </c>
      <c r="B2">
        <f>COUNTBLANK(Raw_Data!B2:G32)</f>
        <v/>
      </c>
      <c r="C2" t="inlineStr">
        <is>
          <t>Counts blanks in raw data</t>
        </is>
      </c>
    </row>
    <row r="3">
      <c r="A3" t="inlineStr">
        <is>
          <t>Duplicate IDs</t>
        </is>
      </c>
      <c r="B3">
        <f>SUMPRODUCT(--(COUNTIF(Raw_Data!A2:A32,Raw_Data!A2:A32)&gt;1))</f>
        <v/>
      </c>
      <c r="C3" t="inlineStr">
        <is>
          <t>Checks repeated IDs</t>
        </is>
      </c>
    </row>
    <row r="4">
      <c r="A4" t="inlineStr">
        <is>
          <t>Species consistency</t>
        </is>
      </c>
      <c r="B4">
        <f>COUNTIF(Raw_Data!F2:F32,"setosa")+COUNTIF(Raw_Data!F2:F32,"SETOSA")</f>
        <v/>
      </c>
      <c r="C4" t="inlineStr">
        <is>
          <t>Shows how inconsistent labels can appear</t>
        </is>
      </c>
    </row>
    <row r="5">
      <c r="A5" t="inlineStr">
        <is>
          <t>Numeric type check</t>
        </is>
      </c>
      <c r="B5" t="inlineStr">
        <is>
          <t>Use Data → Filter and inspect B:E</t>
        </is>
      </c>
      <c r="C5" t="inlineStr">
        <is>
          <t>Find numbers stored as text</t>
        </is>
      </c>
    </row>
    <row r="6">
      <c r="A6" t="inlineStr">
        <is>
          <t>Date validity</t>
        </is>
      </c>
      <c r="B6" t="inlineStr">
        <is>
          <t>Use =IFERROR(DATEVALUE(G2),"INVALID")</t>
        </is>
      </c>
      <c r="C6" t="inlineStr">
        <is>
          <t>Flags invalid date text</t>
        </is>
      </c>
    </row>
    <row r="7">
      <c r="A7" t="inlineStr">
        <is>
          <t>Outlier check</t>
        </is>
      </c>
      <c r="B7" t="inlineStr">
        <is>
          <t>Sort Petal_Length_cm largest to smallest</t>
        </is>
      </c>
      <c r="C7" t="inlineStr">
        <is>
          <t>Flags suspicious values such as 99.9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BEGINNER EXCEL DATA CLEANING PROJECT</t>
        </is>
      </c>
    </row>
    <row r="2">
      <c r="A2" s="8" t="inlineStr">
        <is>
          <t>Dataset</t>
        </is>
      </c>
      <c r="B2" s="6" t="inlineStr">
        <is>
          <t>Iris Dataset (classic public dataset; 30-row practice subset)</t>
        </is>
      </c>
    </row>
    <row r="3">
      <c r="A3" s="8" t="inlineStr">
        <is>
          <t>Goal</t>
        </is>
      </c>
      <c r="B3" s="6" t="inlineStr">
        <is>
          <t>Clean a raw dataset by identifying missing values, duplicates, incorrect data types, inconsistent values, dates, and suspicious numeric values.</t>
        </is>
      </c>
    </row>
    <row r="4">
      <c r="A4" s="8" t="inlineStr">
        <is>
          <t>Workbook sheets</t>
        </is>
      </c>
      <c r="B4" s="6" t="inlineStr">
        <is>
          <t>Raw_Data = intentionally messy data | Cleaned_Data = expected cleaned result | Cleaning_Guide = step-by-step Excel instructions | Data_Quality_Checks = validation ideas</t>
        </is>
      </c>
    </row>
    <row r="5">
      <c r="A5" s="8" t="inlineStr">
        <is>
          <t>Recommended workflow</t>
        </is>
      </c>
      <c r="B5" s="6" t="inlineStr">
        <is>
          <t>1) Work on a copy of Raw_Data. 2) Clean text. 3) Convert data types. 4) Handle missing values. 5) Remove duplicates. 6) Validate outliers. 7) Save final workbook.</t>
        </is>
      </c>
    </row>
    <row r="6">
      <c r="A6" s="8" t="inlineStr">
        <is>
          <t>Important</t>
        </is>
      </c>
      <c r="B6" s="6" t="inlineStr">
        <is>
          <t>Do not edit Raw_Data while learning. Use it as the original/source dataset.</t>
        </is>
      </c>
    </row>
    <row r="7">
      <c r="A7" s="8" t="inlineStr">
        <is>
          <t>SWYNEX submission</t>
        </is>
      </c>
      <c r="B7" s="6" t="inlineStr">
        <is>
          <t>You can use the cleaned workbook as the dataset portion of your Task 1 submission and create a short README explaining the cleaning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2026-10-06T11:59:05Z</dcterms:created>
  <dcterms:modified xmlns:dcterms="http://purl.org/dc/terms/" xmlns:xsi="http://www.w3.org/2001/XMLSchema-instance" xsi:type="dcterms:W3CDTF">2026-10-06T11:59:05Z</dcterms:modified>
</cp:coreProperties>
</file>